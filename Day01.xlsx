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EGA\DESIGN\MEGACOLLEGEOFMANAGEMENT\Course Structure\practical\"/>
    </mc:Choice>
  </mc:AlternateContent>
  <xr:revisionPtr revIDLastSave="0" documentId="13_ncr:1_{80089206-4B5D-4EF4-8212-9157954520C8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mega" sheetId="1" r:id="rId1"/>
    <sheet name="t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1" l="1"/>
  <c r="F9" i="1"/>
  <c r="F10" i="1"/>
  <c r="F11" i="1"/>
  <c r="F12" i="1"/>
  <c r="F8" i="1"/>
  <c r="F14" i="1" l="1"/>
  <c r="F16" i="1" s="1"/>
  <c r="F17" i="1" s="1"/>
  <c r="F18" i="1" s="1"/>
</calcChain>
</file>

<file path=xl/sharedStrings.xml><?xml version="1.0" encoding="utf-8"?>
<sst xmlns="http://schemas.openxmlformats.org/spreadsheetml/2006/main" count="18" uniqueCount="18">
  <si>
    <t>Nepal Mega College</t>
  </si>
  <si>
    <t>Babarmahal, Kathmandu, Nepal</t>
  </si>
  <si>
    <t>ESTIMATE</t>
  </si>
  <si>
    <t>SN</t>
  </si>
  <si>
    <t>Particular</t>
  </si>
  <si>
    <t>Qty</t>
  </si>
  <si>
    <t>Rate</t>
  </si>
  <si>
    <t>Total</t>
  </si>
  <si>
    <t>Pen</t>
  </si>
  <si>
    <t>Pencil</t>
  </si>
  <si>
    <t>Copy</t>
  </si>
  <si>
    <t>Eraser</t>
  </si>
  <si>
    <t>Pin</t>
  </si>
  <si>
    <t>Grand Total</t>
  </si>
  <si>
    <t>Discount</t>
  </si>
  <si>
    <t>VAT@13%</t>
  </si>
  <si>
    <t>Net Total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</si>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</sst>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1" applyBorder="1" applyAlignment="1">
      <alignment horizontal="center"/>
    </xf>
    <xf numFmtId="0" fontId="3" fillId="0" borderId="3" xfId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AT@13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8"/>
  <sheetViews>
    <sheetView tabSelected="1" topLeftCell="A6" zoomScale="160" zoomScaleNormal="160" workbookViewId="0">
      <selection activeCell="F16" sqref="F16"/>
    </sheetView>
  </sheetViews>
  <sheetFormatPr defaultRowHeight="15" x14ac:dyDescent="0.25"/>
  <cols>
    <col min="1" max="1" width="3.5703125" customWidth="1"/>
    <col min="2" max="2" width="4.5703125" customWidth="1"/>
    <col min="3" max="3" width="22.42578125" customWidth="1"/>
    <col min="4" max="4" width="8" customWidth="1"/>
    <col min="5" max="5" width="8.85546875" customWidth="1"/>
  </cols>
  <sheetData>
    <row r="2" spans="1:7" ht="23.25" x14ac:dyDescent="0.35">
      <c r="A2" s="1" t="s">
        <v>0</v>
      </c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spans="1:7" x14ac:dyDescent="0.25">
      <c r="A5" s="8" t="s">
        <v>2</v>
      </c>
      <c r="B5" s="8"/>
      <c r="C5" s="8"/>
      <c r="D5" s="8"/>
      <c r="E5" s="8"/>
      <c r="F5" s="8"/>
      <c r="G5" s="8"/>
    </row>
    <row r="7" spans="1:7" x14ac:dyDescent="0.25"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</row>
    <row r="8" spans="1:7" x14ac:dyDescent="0.25">
      <c r="B8" s="3">
        <v>1</v>
      </c>
      <c r="C8" s="3" t="s">
        <v>8</v>
      </c>
      <c r="D8" s="3">
        <v>1000</v>
      </c>
      <c r="E8" s="3">
        <v>10</v>
      </c>
      <c r="F8" s="3">
        <f>D8*E8</f>
        <v>10000</v>
      </c>
    </row>
    <row r="9" spans="1:7" x14ac:dyDescent="0.25">
      <c r="B9" s="3">
        <v>2</v>
      </c>
      <c r="C9" s="3" t="s">
        <v>9</v>
      </c>
      <c r="D9" s="3">
        <v>50</v>
      </c>
      <c r="E9" s="3">
        <v>5</v>
      </c>
      <c r="F9" s="3">
        <f t="shared" ref="F9:F12" si="0">D9*E9</f>
        <v>250</v>
      </c>
    </row>
    <row r="10" spans="1:7" x14ac:dyDescent="0.25">
      <c r="B10" s="3">
        <v>3</v>
      </c>
      <c r="C10" s="3" t="s">
        <v>10</v>
      </c>
      <c r="D10" s="3">
        <v>50</v>
      </c>
      <c r="E10" s="3">
        <v>100</v>
      </c>
      <c r="F10" s="3">
        <f t="shared" si="0"/>
        <v>5000</v>
      </c>
    </row>
    <row r="11" spans="1:7" x14ac:dyDescent="0.25">
      <c r="B11" s="3">
        <v>4</v>
      </c>
      <c r="C11" s="3" t="s">
        <v>11</v>
      </c>
      <c r="D11" s="3">
        <v>100</v>
      </c>
      <c r="E11" s="3">
        <v>10</v>
      </c>
      <c r="F11" s="3">
        <f t="shared" si="0"/>
        <v>1000</v>
      </c>
    </row>
    <row r="12" spans="1:7" x14ac:dyDescent="0.25">
      <c r="B12" s="3">
        <v>5</v>
      </c>
      <c r="C12" s="3" t="s">
        <v>12</v>
      </c>
      <c r="D12" s="3">
        <v>100</v>
      </c>
      <c r="E12" s="3">
        <v>10</v>
      </c>
      <c r="F12" s="3">
        <f t="shared" si="0"/>
        <v>1000</v>
      </c>
    </row>
    <row r="13" spans="1:7" x14ac:dyDescent="0.25">
      <c r="B13" s="3"/>
      <c r="C13" s="3"/>
      <c r="D13" s="3"/>
      <c r="E13" s="3"/>
      <c r="F13" s="3"/>
    </row>
    <row r="14" spans="1:7" x14ac:dyDescent="0.25">
      <c r="B14" s="3"/>
      <c r="C14" s="3"/>
      <c r="D14" s="4" t="s">
        <v>13</v>
      </c>
      <c r="E14" s="5"/>
      <c r="F14" s="3">
        <f>SUM(F8:F13)</f>
        <v>17250</v>
      </c>
    </row>
    <row r="15" spans="1:7" x14ac:dyDescent="0.25">
      <c r="B15" s="3"/>
      <c r="C15" s="3"/>
      <c r="D15" s="4" t="s">
        <v>14</v>
      </c>
      <c r="E15" s="5"/>
      <c r="F15" s="3">
        <f>IF(F14&gt;=10000,F14*0.1,F14*0.05)</f>
        <v>1725</v>
      </c>
    </row>
    <row r="16" spans="1:7" x14ac:dyDescent="0.25">
      <c r="B16" s="3"/>
      <c r="C16" s="3"/>
      <c r="D16" s="4" t="s">
        <v>17</v>
      </c>
      <c r="E16" s="5"/>
      <c r="F16" s="3">
        <f>F14-F15</f>
        <v>15525</v>
      </c>
    </row>
    <row r="17" spans="2:6" x14ac:dyDescent="0.25">
      <c r="B17" s="3"/>
      <c r="C17" s="3"/>
      <c r="D17" s="6" t="s">
        <v>15</v>
      </c>
      <c r="E17" s="7"/>
      <c r="F17" s="3">
        <f>F16*0.13</f>
        <v>2018.25</v>
      </c>
    </row>
    <row r="18" spans="2:6" x14ac:dyDescent="0.25">
      <c r="B18" s="3"/>
      <c r="C18" s="3"/>
      <c r="D18" s="4" t="s">
        <v>16</v>
      </c>
      <c r="E18" s="5"/>
      <c r="F18" s="9">
        <f>F16+F17</f>
        <v>17543.25</v>
      </c>
    </row>
  </sheetData>
  <mergeCells count="8">
    <mergeCell ref="D18:E18"/>
    <mergeCell ref="D16:E16"/>
    <mergeCell ref="A2:G2"/>
    <mergeCell ref="A3:G3"/>
    <mergeCell ref="A5:G5"/>
    <mergeCell ref="D14:E14"/>
    <mergeCell ref="D15:E15"/>
    <mergeCell ref="D17:E17"/>
  </mergeCells>
  <hyperlinks>
    <hyperlink ref="D17" r:id="rId1" xr:uid="{5F2B5E93-88BE-407D-94B5-ADF5336F2ED7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DE2A-E334-4EF1-B76B-50347EB617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mega</vt:lpstr>
      <vt:lpstr>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Dharma Raj Poudel</cp:lastModifiedBy>
  <cp:lastPrinted>2026-01-08T01:15:19Z</cp:lastPrinted>
  <dcterms:created xsi:type="dcterms:W3CDTF">2025-07-21T09:59:32Z</dcterms:created>
  <dcterms:modified xsi:type="dcterms:W3CDTF">2026-01-08T01:24:54Z</dcterms:modified>
</cp:coreProperties>
</file>